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4545" windowWidth="15405" windowHeight="4590"/>
  </bookViews>
  <sheets>
    <sheet name="Pin_ a1.8__q4_2016" sheetId="1" r:id="rId1"/>
  </sheets>
  <calcPr calcId="125725"/>
</workbook>
</file>

<file path=xl/calcChain.xml><?xml version="1.0" encoding="utf-8"?>
<calcChain xmlns="http://schemas.openxmlformats.org/spreadsheetml/2006/main">
  <c r="C12" i="1"/>
  <c r="D12"/>
  <c r="E12"/>
  <c r="F12"/>
  <c r="G12"/>
  <c r="H12"/>
  <c r="I12"/>
  <c r="J12"/>
  <c r="K12"/>
  <c r="L12"/>
  <c r="M12"/>
  <c r="B12"/>
</calcChain>
</file>

<file path=xl/sharedStrings.xml><?xml version="1.0" encoding="utf-8"?>
<sst xmlns="http://schemas.openxmlformats.org/spreadsheetml/2006/main" count="117" uniqueCount="111">
  <si>
    <t>Σύνολο</t>
  </si>
  <si>
    <t>Piraeus</t>
  </si>
  <si>
    <t>Aegio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</si>
  <si>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</si>
  <si>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</si>
  <si>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</si>
  <si>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</si>
  <si>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</si>
  <si>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</si>
  <si>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</si>
  <si>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Chalkida</t>
  </si>
  <si>
    <t>Dombraina Boiotias</t>
  </si>
  <si>
    <t>Drepano Riou</t>
  </si>
  <si>
    <t>Eleusina</t>
  </si>
  <si>
    <t>Heraklio</t>
  </si>
  <si>
    <t>Ierapetra Lasithiou</t>
  </si>
  <si>
    <t>Igoumenitsa</t>
  </si>
  <si>
    <t>Istmia</t>
  </si>
  <si>
    <t>Itea</t>
  </si>
  <si>
    <t>Kavala</t>
  </si>
  <si>
    <t>Korinthos</t>
  </si>
  <si>
    <t>Larymna</t>
  </si>
  <si>
    <t>Lavrio</t>
  </si>
  <si>
    <t>Megara</t>
  </si>
  <si>
    <t>Milos (Adamas)</t>
  </si>
  <si>
    <t>Nafplio</t>
  </si>
  <si>
    <t>Nea Moudania</t>
  </si>
  <si>
    <t>Nissyros</t>
  </si>
  <si>
    <t>Patras</t>
  </si>
  <si>
    <t>Platygiali Etoloakarnanias</t>
  </si>
  <si>
    <t>Porto Lagos</t>
  </si>
  <si>
    <t>Preveza</t>
  </si>
  <si>
    <t>Rethymno</t>
  </si>
  <si>
    <t>Rhodes</t>
  </si>
  <si>
    <t>Sitia</t>
  </si>
  <si>
    <t>Souda Bay</t>
  </si>
  <si>
    <t>Stavros Chalkidikis</t>
  </si>
  <si>
    <t>Stylida</t>
  </si>
  <si>
    <t>Thassos</t>
  </si>
  <si>
    <t>Thessaloniki</t>
  </si>
  <si>
    <t>Volos</t>
  </si>
  <si>
    <t>Μικτό βάρος φορτίων σε τόννους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</si>
  <si>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</si>
  <si>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</si>
  <si>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</si>
  <si>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</si>
  <si>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</si>
  <si>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</si>
  <si>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</si>
  <si>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</si>
  <si>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</si>
  <si>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</si>
  <si>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</si>
  <si>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</si>
  <si>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Πειραιάς</t>
  </si>
  <si>
    <t>Αίγιο</t>
  </si>
  <si>
    <t>Αμφιλοχία</t>
  </si>
  <si>
    <t>Αντίκυρα</t>
  </si>
  <si>
    <t>Αργοστόλι</t>
  </si>
  <si>
    <t>Χαλκίδα</t>
  </si>
  <si>
    <t>Δόμβραινα Βοιωτίας</t>
  </si>
  <si>
    <t>Δρέπανο Ρίου</t>
  </si>
  <si>
    <t>Ελευσίνα</t>
  </si>
  <si>
    <t>Ηράκλειο</t>
  </si>
  <si>
    <t>Ιεράπετρα Λασιθίου</t>
  </si>
  <si>
    <t>Ηγουμενίτσα</t>
  </si>
  <si>
    <t>Ίσθμια</t>
  </si>
  <si>
    <t>Ιτέα</t>
  </si>
  <si>
    <t>Καβάλα</t>
  </si>
  <si>
    <t>Κόρινθος</t>
  </si>
  <si>
    <t>Λάρυμνα</t>
  </si>
  <si>
    <t>Μέγαρα</t>
  </si>
  <si>
    <t>Λαύριο</t>
  </si>
  <si>
    <t>Ναύπλιο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</si>
  <si>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</si>
  <si>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</si>
  <si>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</si>
  <si>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</si>
  <si>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</si>
  <si>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</si>
  <si>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Ρόδος</t>
  </si>
  <si>
    <t>Σητεία</t>
  </si>
  <si>
    <t>Σταυρός Χαλκιδικής</t>
  </si>
  <si>
    <t>Στυλίδα</t>
  </si>
  <si>
    <t>Θάσος</t>
  </si>
  <si>
    <t>Θεσσαλονίκη</t>
  </si>
  <si>
    <t>Βόλος</t>
  </si>
  <si>
    <t>Άγιοι Θεόδωροι</t>
  </si>
  <si>
    <t>Μυτιλήνη</t>
  </si>
  <si>
    <t>Mytilene</t>
  </si>
  <si>
    <t>Ρίο</t>
  </si>
  <si>
    <t>Rio</t>
  </si>
  <si>
    <t>Αλεξανδρούπολις</t>
  </si>
  <si>
    <t>Αλιβέριο</t>
  </si>
  <si>
    <t>Αμαλιάπολη  Μαγνησίας</t>
  </si>
  <si>
    <t>Ιερισσός Χαλκιδικής</t>
  </si>
  <si>
    <t>Ierissos Chalkidikis</t>
  </si>
  <si>
    <t>Καλαμάτα</t>
  </si>
  <si>
    <t>Kalamata</t>
  </si>
  <si>
    <t>Κιάτο</t>
  </si>
  <si>
    <t>Kiato</t>
  </si>
  <si>
    <t>Μήλος Αδάμας</t>
  </si>
  <si>
    <t>Νέα Μουδανιά Χαλκιδικής</t>
  </si>
  <si>
    <t>Σκαραμαγκάς</t>
  </si>
  <si>
    <t>Skaramagas</t>
  </si>
  <si>
    <t>Σούδα</t>
  </si>
  <si>
    <t>Στρατώνιο Χαλκιδικής</t>
  </si>
  <si>
    <t>Stratonio Chalkidikis</t>
  </si>
  <si>
    <t>Δ΄ ΤΡΙΜΗΝΟ 2016 - 4th QUARTER 2016</t>
  </si>
  <si>
    <t>Unloaded and loaded goods from abroad in Greek ports by ports and type of cargo (4th Quarter 2016)</t>
  </si>
  <si>
    <t xml:space="preserve">  Εκφορτωθέντα και φορτωθέντα εμπορεύματα εξωτερικού στους ελληνικούς λιμένες κατά λιμένα και κατηγορία φορτίου (Δ΄Τρίμηνο 2016)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</si>
</sst>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 applyFill="1"/>
    <xf numFmtId="0" fontId="0" fillId="0" borderId="0" xfId="0" applyFont="1"/>
    <xf numFmtId="3" fontId="0" fillId="0" borderId="0" xfId="0" applyNumberFormat="1" applyFont="1"/>
    <xf numFmtId="0" fontId="0" fillId="0" borderId="0" xfId="0" applyFont="1" applyBorder="1" applyAlignment="1">
      <alignment wrapText="1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/>
    <xf numFmtId="3" fontId="16" fillId="0" borderId="10" xfId="0" applyNumberFormat="1" applyFont="1" applyBorder="1"/>
    <xf numFmtId="3" fontId="16" fillId="0" borderId="11" xfId="0" applyNumberFormat="1" applyFont="1" applyBorder="1"/>
    <xf numFmtId="3" fontId="16" fillId="0" borderId="12" xfId="0" applyNumberFormat="1" applyFont="1" applyBorder="1"/>
    <xf numFmtId="3" fontId="0" fillId="0" borderId="13" xfId="0" applyNumberFormat="1" applyFont="1" applyFill="1" applyBorder="1"/>
    <xf numFmtId="3" fontId="0" fillId="0" borderId="11" xfId="0" applyNumberFormat="1" applyFont="1" applyFill="1" applyBorder="1"/>
    <xf numFmtId="3" fontId="0" fillId="0" borderId="12" xfId="0" applyNumberFormat="1" applyFont="1" applyFill="1" applyBorder="1"/>
    <xf numFmtId="3" fontId="0" fillId="0" borderId="13" xfId="0" applyNumberFormat="1" applyFont="1" applyBorder="1"/>
    <xf numFmtId="3" fontId="0" fillId="0" borderId="11" xfId="0" applyNumberFormat="1" applyFont="1" applyBorder="1"/>
    <xf numFmtId="3" fontId="0" fillId="0" borderId="12" xfId="0" applyNumberFormat="1" applyFont="1" applyBorder="1"/>
    <xf numFmtId="0" fontId="0" fillId="0" borderId="12" xfId="0" applyFont="1" applyBorder="1"/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3" fontId="20" fillId="0" borderId="10" xfId="0" applyNumberFormat="1" applyFont="1" applyFill="1" applyBorder="1" applyAlignment="1">
      <alignment horizontal="center" vertical="center" wrapText="1"/>
    </xf>
    <xf numFmtId="3" fontId="21" fillId="0" borderId="11" xfId="0" applyNumberFormat="1" applyFont="1" applyFill="1" applyBorder="1" applyAlignment="1">
      <alignment horizontal="center" vertical="center" wrapText="1"/>
    </xf>
    <xf numFmtId="3" fontId="20" fillId="0" borderId="11" xfId="0" applyNumberFormat="1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>
      <selection activeCell="A2" sqref="A2:M2"/>
    </sheetView>
  </sheetViews>
  <sheetFormatPr defaultColWidth="8.85546875" defaultRowHeight="15"/>
  <cols>
    <col min="1" max="1" width="25.5703125" style="2" customWidth="1"/>
    <col min="2" max="2" width="11.85546875" style="2" customWidth="1"/>
    <col min="3" max="3" width="13.5703125" style="2" customWidth="1"/>
    <col min="4" max="4" width="13" style="2" customWidth="1"/>
    <col min="5" max="5" width="14" style="2" customWidth="1"/>
    <col min="6" max="7" width="13.140625" style="2" customWidth="1"/>
    <col min="8" max="8" width="10.140625" style="2" bestFit="1" customWidth="1"/>
    <col min="9" max="9" width="12.140625" style="2" customWidth="1"/>
    <col min="10" max="10" width="12.7109375" style="2" customWidth="1"/>
    <col min="11" max="11" width="11.5703125" style="2" customWidth="1"/>
    <col min="12" max="12" width="11.28515625" style="2" customWidth="1"/>
    <col min="13" max="13" width="12.7109375" style="2" customWidth="1"/>
    <col min="14" max="14" width="30.7109375" style="2" customWidth="1"/>
    <col min="15" max="16384" width="8.85546875" style="2"/>
  </cols>
  <sheetData>
    <row r="1" spans="1:14" ht="14.45" customHeight="1">
      <c r="A1" s="17" t="s">
        <v>110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 ht="14.45" customHeight="1">
      <c r="A2" s="17" t="s">
        <v>109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ht="14.45" customHeight="1">
      <c r="A4" s="18" t="s">
        <v>108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4">
      <c r="A5" s="1"/>
      <c r="B5" s="1"/>
      <c r="C5" s="1"/>
      <c r="D5" s="1"/>
      <c r="E5" s="1"/>
      <c r="F5" s="1"/>
      <c r="G5" s="5"/>
      <c r="H5" s="5"/>
      <c r="I5" s="1"/>
      <c r="J5" s="1"/>
      <c r="K5" s="1"/>
      <c r="L5" s="1"/>
      <c r="M5" s="1"/>
    </row>
    <row r="6" spans="1:14">
      <c r="A6" s="6" t="s">
        <v>41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" t="s">
        <v>42</v>
      </c>
    </row>
    <row r="7" spans="1:14" ht="14.45" customHeight="1">
      <c r="A7" s="19" t="s">
        <v>43</v>
      </c>
      <c r="B7" s="20" t="s">
        <v>44</v>
      </c>
      <c r="C7" s="20"/>
      <c r="D7" s="20"/>
      <c r="E7" s="20"/>
      <c r="F7" s="20"/>
      <c r="G7" s="20"/>
      <c r="H7" s="20" t="s">
        <v>45</v>
      </c>
      <c r="I7" s="20"/>
      <c r="J7" s="20"/>
      <c r="K7" s="20"/>
      <c r="L7" s="20"/>
      <c r="M7" s="20"/>
      <c r="N7" s="22" t="s">
        <v>46</v>
      </c>
    </row>
    <row r="8" spans="1:14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2"/>
    </row>
    <row r="9" spans="1:14" ht="14.45" customHeight="1">
      <c r="A9" s="19"/>
      <c r="B9" s="21" t="s">
        <v>47</v>
      </c>
      <c r="C9" s="21" t="s">
        <v>48</v>
      </c>
      <c r="D9" s="21" t="s">
        <v>49</v>
      </c>
      <c r="E9" s="21" t="s">
        <v>50</v>
      </c>
      <c r="F9" s="21" t="s">
        <v>51</v>
      </c>
      <c r="G9" s="21" t="s">
        <v>52</v>
      </c>
      <c r="H9" s="21" t="s">
        <v>47</v>
      </c>
      <c r="I9" s="21" t="s">
        <v>48</v>
      </c>
      <c r="J9" s="21" t="s">
        <v>49</v>
      </c>
      <c r="K9" s="21" t="s">
        <v>50</v>
      </c>
      <c r="L9" s="21" t="s">
        <v>51</v>
      </c>
      <c r="M9" s="21" t="s">
        <v>52</v>
      </c>
      <c r="N9" s="22"/>
    </row>
    <row r="10" spans="1:14">
      <c r="A10" s="19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2"/>
    </row>
    <row r="11" spans="1:14" ht="48.75" customHeight="1">
      <c r="A11" s="1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2"/>
    </row>
    <row r="12" spans="1:14">
      <c r="A12" s="7" t="s">
        <v>0</v>
      </c>
      <c r="B12" s="8">
        <f>SUM(B13:B59)</f>
        <v>16792579</v>
      </c>
      <c r="C12" s="8">
        <f t="shared" ref="C12:M12" si="0">SUM(C13:C59)</f>
        <v>8935827</v>
      </c>
      <c r="D12" s="8">
        <f t="shared" si="0"/>
        <v>2017019</v>
      </c>
      <c r="E12" s="8">
        <f t="shared" si="0"/>
        <v>4565332</v>
      </c>
      <c r="F12" s="8">
        <f t="shared" si="0"/>
        <v>849153</v>
      </c>
      <c r="G12" s="8">
        <f t="shared" si="0"/>
        <v>425248</v>
      </c>
      <c r="H12" s="8">
        <f t="shared" si="0"/>
        <v>12447860</v>
      </c>
      <c r="I12" s="8">
        <f t="shared" si="0"/>
        <v>4056694</v>
      </c>
      <c r="J12" s="8">
        <f t="shared" si="0"/>
        <v>2819006</v>
      </c>
      <c r="K12" s="8">
        <f t="shared" si="0"/>
        <v>4430001</v>
      </c>
      <c r="L12" s="8">
        <f t="shared" si="0"/>
        <v>747901</v>
      </c>
      <c r="M12" s="8">
        <f t="shared" si="0"/>
        <v>394258</v>
      </c>
      <c r="N12" s="9" t="s">
        <v>53</v>
      </c>
    </row>
    <row r="13" spans="1:14">
      <c r="A13" s="10" t="s">
        <v>54</v>
      </c>
      <c r="B13" s="11">
        <v>4536020</v>
      </c>
      <c r="C13" s="11">
        <v>32367</v>
      </c>
      <c r="D13" s="11">
        <v>31550</v>
      </c>
      <c r="E13" s="11">
        <v>4367151</v>
      </c>
      <c r="F13" s="11">
        <v>103974</v>
      </c>
      <c r="G13" s="11">
        <v>978</v>
      </c>
      <c r="H13" s="11">
        <v>4235058</v>
      </c>
      <c r="I13" s="11">
        <v>0</v>
      </c>
      <c r="J13" s="11">
        <v>0</v>
      </c>
      <c r="K13" s="11">
        <v>4163779</v>
      </c>
      <c r="L13" s="11">
        <v>70303</v>
      </c>
      <c r="M13" s="11">
        <v>976</v>
      </c>
      <c r="N13" s="12" t="s">
        <v>1</v>
      </c>
    </row>
    <row r="14" spans="1:14">
      <c r="A14" s="10" t="s">
        <v>87</v>
      </c>
      <c r="B14" s="11">
        <v>3568070</v>
      </c>
      <c r="C14" s="11">
        <v>3568070</v>
      </c>
      <c r="D14" s="11">
        <v>0</v>
      </c>
      <c r="E14" s="11">
        <v>0</v>
      </c>
      <c r="F14" s="11">
        <v>0</v>
      </c>
      <c r="G14" s="11">
        <v>0</v>
      </c>
      <c r="H14" s="11">
        <v>2308997</v>
      </c>
      <c r="I14" s="11">
        <v>2308997</v>
      </c>
      <c r="J14" s="11">
        <v>0</v>
      </c>
      <c r="K14" s="11">
        <v>0</v>
      </c>
      <c r="L14" s="11">
        <v>0</v>
      </c>
      <c r="M14" s="11">
        <v>0</v>
      </c>
      <c r="N14" s="12" t="s">
        <v>3</v>
      </c>
    </row>
    <row r="15" spans="1:14">
      <c r="A15" s="10" t="s">
        <v>55</v>
      </c>
      <c r="B15" s="11">
        <v>11910</v>
      </c>
      <c r="C15" s="11">
        <v>0</v>
      </c>
      <c r="D15" s="11">
        <v>3400</v>
      </c>
      <c r="E15" s="11">
        <v>3319</v>
      </c>
      <c r="F15" s="11">
        <v>0</v>
      </c>
      <c r="G15" s="11">
        <v>5191</v>
      </c>
      <c r="H15" s="11">
        <v>3261</v>
      </c>
      <c r="I15" s="11">
        <v>0</v>
      </c>
      <c r="J15" s="11">
        <v>0</v>
      </c>
      <c r="K15" s="11">
        <v>0</v>
      </c>
      <c r="L15" s="11">
        <v>0</v>
      </c>
      <c r="M15" s="11">
        <v>3261</v>
      </c>
      <c r="N15" s="12" t="s">
        <v>2</v>
      </c>
    </row>
    <row r="16" spans="1:14">
      <c r="A16" s="10" t="s">
        <v>92</v>
      </c>
      <c r="B16" s="11">
        <v>1254</v>
      </c>
      <c r="C16" s="11">
        <v>0</v>
      </c>
      <c r="D16" s="11">
        <v>0</v>
      </c>
      <c r="E16" s="11">
        <v>0</v>
      </c>
      <c r="F16" s="11">
        <v>0</v>
      </c>
      <c r="G16" s="11">
        <v>1254</v>
      </c>
      <c r="H16" s="11">
        <v>59100</v>
      </c>
      <c r="I16" s="11">
        <v>0</v>
      </c>
      <c r="J16" s="11">
        <v>56200</v>
      </c>
      <c r="K16" s="11">
        <v>0</v>
      </c>
      <c r="L16" s="11">
        <v>0</v>
      </c>
      <c r="M16" s="11">
        <v>2900</v>
      </c>
      <c r="N16" s="12" t="s">
        <v>4</v>
      </c>
    </row>
    <row r="17" spans="1:14">
      <c r="A17" s="10" t="s">
        <v>93</v>
      </c>
      <c r="B17" s="11">
        <v>311277</v>
      </c>
      <c r="C17" s="11">
        <v>0</v>
      </c>
      <c r="D17" s="11">
        <v>311277</v>
      </c>
      <c r="E17" s="11">
        <v>0</v>
      </c>
      <c r="F17" s="11">
        <v>0</v>
      </c>
      <c r="G17" s="11">
        <v>0</v>
      </c>
      <c r="H17" s="11">
        <v>323414</v>
      </c>
      <c r="I17" s="11">
        <v>0</v>
      </c>
      <c r="J17" s="11">
        <v>323414</v>
      </c>
      <c r="K17" s="11">
        <v>0</v>
      </c>
      <c r="L17" s="11">
        <v>0</v>
      </c>
      <c r="M17" s="11">
        <v>0</v>
      </c>
      <c r="N17" s="12" t="s">
        <v>5</v>
      </c>
    </row>
    <row r="18" spans="1:14">
      <c r="A18" s="10" t="s">
        <v>94</v>
      </c>
      <c r="B18" s="11">
        <v>153388</v>
      </c>
      <c r="C18" s="11">
        <v>0</v>
      </c>
      <c r="D18" s="11">
        <v>152216</v>
      </c>
      <c r="E18" s="11">
        <v>0</v>
      </c>
      <c r="F18" s="11">
        <v>0</v>
      </c>
      <c r="G18" s="11">
        <v>1172</v>
      </c>
      <c r="H18" s="11">
        <v>91355</v>
      </c>
      <c r="I18" s="11">
        <v>0</v>
      </c>
      <c r="J18" s="11">
        <v>14429</v>
      </c>
      <c r="K18" s="11">
        <v>0</v>
      </c>
      <c r="L18" s="11">
        <v>0</v>
      </c>
      <c r="M18" s="11">
        <v>76926</v>
      </c>
      <c r="N18" s="12" t="s">
        <v>6</v>
      </c>
    </row>
    <row r="19" spans="1:14">
      <c r="A19" s="10" t="s">
        <v>56</v>
      </c>
      <c r="B19" s="11">
        <v>11448</v>
      </c>
      <c r="C19" s="11">
        <v>0</v>
      </c>
      <c r="D19" s="11">
        <v>8439</v>
      </c>
      <c r="E19" s="11">
        <v>0</v>
      </c>
      <c r="F19" s="11">
        <v>0</v>
      </c>
      <c r="G19" s="11">
        <v>3009</v>
      </c>
      <c r="H19" s="11">
        <v>0</v>
      </c>
      <c r="I19" s="11"/>
      <c r="J19" s="11"/>
      <c r="K19" s="11"/>
      <c r="L19" s="11"/>
      <c r="M19" s="11"/>
      <c r="N19" s="12" t="s">
        <v>7</v>
      </c>
    </row>
    <row r="20" spans="1:14">
      <c r="A20" s="10" t="s">
        <v>57</v>
      </c>
      <c r="B20" s="11">
        <v>214425</v>
      </c>
      <c r="C20" s="11">
        <v>14927</v>
      </c>
      <c r="D20" s="11">
        <v>198396</v>
      </c>
      <c r="E20" s="11">
        <v>0</v>
      </c>
      <c r="F20" s="11">
        <v>0</v>
      </c>
      <c r="G20" s="11">
        <v>1102</v>
      </c>
      <c r="H20" s="11">
        <v>159306</v>
      </c>
      <c r="I20" s="11">
        <v>0</v>
      </c>
      <c r="J20" s="11">
        <v>145889</v>
      </c>
      <c r="K20" s="11">
        <v>0</v>
      </c>
      <c r="L20" s="11">
        <v>0</v>
      </c>
      <c r="M20" s="11">
        <v>13417</v>
      </c>
      <c r="N20" s="12" t="s">
        <v>8</v>
      </c>
    </row>
    <row r="21" spans="1:14">
      <c r="A21" s="10" t="s">
        <v>58</v>
      </c>
      <c r="B21" s="11">
        <v>0</v>
      </c>
      <c r="C21" s="11"/>
      <c r="D21" s="11"/>
      <c r="E21" s="11"/>
      <c r="F21" s="11"/>
      <c r="G21" s="11"/>
      <c r="H21" s="11">
        <v>6656</v>
      </c>
      <c r="I21" s="11">
        <v>0</v>
      </c>
      <c r="J21" s="11">
        <v>0</v>
      </c>
      <c r="K21" s="11">
        <v>0</v>
      </c>
      <c r="L21" s="11">
        <v>0</v>
      </c>
      <c r="M21" s="11">
        <v>6656</v>
      </c>
      <c r="N21" s="12" t="s">
        <v>9</v>
      </c>
    </row>
    <row r="22" spans="1:14">
      <c r="A22" s="13" t="s">
        <v>86</v>
      </c>
      <c r="B22" s="14">
        <v>109790</v>
      </c>
      <c r="C22" s="14">
        <v>7091</v>
      </c>
      <c r="D22" s="14">
        <v>96955</v>
      </c>
      <c r="E22" s="14">
        <v>0</v>
      </c>
      <c r="F22" s="14">
        <v>0</v>
      </c>
      <c r="G22" s="14">
        <v>5744</v>
      </c>
      <c r="H22" s="14">
        <v>304817</v>
      </c>
      <c r="I22" s="14">
        <v>0</v>
      </c>
      <c r="J22" s="14">
        <v>252610</v>
      </c>
      <c r="K22" s="14">
        <v>0</v>
      </c>
      <c r="L22" s="14">
        <v>0</v>
      </c>
      <c r="M22" s="14">
        <v>52207</v>
      </c>
      <c r="N22" s="15" t="s">
        <v>40</v>
      </c>
    </row>
    <row r="23" spans="1:14">
      <c r="A23" s="13" t="s">
        <v>60</v>
      </c>
      <c r="B23" s="14">
        <v>100278</v>
      </c>
      <c r="C23" s="14">
        <v>0</v>
      </c>
      <c r="D23" s="14">
        <v>0</v>
      </c>
      <c r="E23" s="14">
        <v>0</v>
      </c>
      <c r="F23" s="14">
        <v>0</v>
      </c>
      <c r="G23" s="14">
        <v>100278</v>
      </c>
      <c r="H23" s="14">
        <v>75241</v>
      </c>
      <c r="I23" s="14">
        <v>0</v>
      </c>
      <c r="J23" s="14">
        <v>0</v>
      </c>
      <c r="K23" s="14">
        <v>0</v>
      </c>
      <c r="L23" s="14">
        <v>0</v>
      </c>
      <c r="M23" s="14">
        <v>75241</v>
      </c>
      <c r="N23" s="15" t="s">
        <v>11</v>
      </c>
    </row>
    <row r="24" spans="1:14">
      <c r="A24" s="13" t="s">
        <v>61</v>
      </c>
      <c r="B24" s="14">
        <v>49163</v>
      </c>
      <c r="C24" s="14">
        <v>0</v>
      </c>
      <c r="D24" s="14">
        <v>49163</v>
      </c>
      <c r="E24" s="14">
        <v>0</v>
      </c>
      <c r="F24" s="14">
        <v>0</v>
      </c>
      <c r="G24" s="14">
        <v>0</v>
      </c>
      <c r="H24" s="14">
        <v>184919</v>
      </c>
      <c r="I24" s="14">
        <v>0</v>
      </c>
      <c r="J24" s="14">
        <v>174919</v>
      </c>
      <c r="K24" s="14">
        <v>0</v>
      </c>
      <c r="L24" s="14">
        <v>0</v>
      </c>
      <c r="M24" s="14">
        <v>10000</v>
      </c>
      <c r="N24" s="15" t="s">
        <v>12</v>
      </c>
    </row>
    <row r="25" spans="1:14">
      <c r="A25" s="13" t="s">
        <v>62</v>
      </c>
      <c r="B25" s="14">
        <v>1110633</v>
      </c>
      <c r="C25" s="14">
        <v>937535</v>
      </c>
      <c r="D25" s="14">
        <v>87183</v>
      </c>
      <c r="E25" s="14">
        <v>0</v>
      </c>
      <c r="F25" s="14">
        <v>0</v>
      </c>
      <c r="G25" s="14">
        <v>85915</v>
      </c>
      <c r="H25" s="14">
        <v>2203805</v>
      </c>
      <c r="I25" s="14">
        <v>1605171</v>
      </c>
      <c r="J25" s="14">
        <v>588175</v>
      </c>
      <c r="K25" s="14">
        <v>30</v>
      </c>
      <c r="L25" s="14">
        <v>0</v>
      </c>
      <c r="M25" s="14">
        <v>10429</v>
      </c>
      <c r="N25" s="15" t="s">
        <v>13</v>
      </c>
    </row>
    <row r="26" spans="1:14">
      <c r="A26" s="13" t="s">
        <v>65</v>
      </c>
      <c r="B26" s="14">
        <v>321851</v>
      </c>
      <c r="C26" s="14">
        <v>0</v>
      </c>
      <c r="D26" s="14">
        <v>0</v>
      </c>
      <c r="E26" s="14">
        <v>0</v>
      </c>
      <c r="F26" s="14">
        <v>321851</v>
      </c>
      <c r="G26" s="14">
        <v>0</v>
      </c>
      <c r="H26" s="14">
        <v>344100</v>
      </c>
      <c r="I26" s="14">
        <v>0</v>
      </c>
      <c r="J26" s="14">
        <v>0</v>
      </c>
      <c r="K26" s="14">
        <v>0</v>
      </c>
      <c r="L26" s="14">
        <v>344100</v>
      </c>
      <c r="M26" s="14">
        <v>0</v>
      </c>
      <c r="N26" s="15" t="s">
        <v>16</v>
      </c>
    </row>
    <row r="27" spans="1:14">
      <c r="A27" s="13" t="s">
        <v>63</v>
      </c>
      <c r="B27" s="14">
        <v>15487</v>
      </c>
      <c r="C27" s="14">
        <v>0</v>
      </c>
      <c r="D27" s="14">
        <v>12552</v>
      </c>
      <c r="E27" s="14">
        <v>0</v>
      </c>
      <c r="F27" s="14">
        <v>0</v>
      </c>
      <c r="G27" s="14">
        <v>2935</v>
      </c>
      <c r="H27" s="14">
        <v>1138</v>
      </c>
      <c r="I27" s="14">
        <v>0</v>
      </c>
      <c r="J27" s="14">
        <v>0</v>
      </c>
      <c r="K27" s="14">
        <v>1138</v>
      </c>
      <c r="L27" s="14">
        <v>0</v>
      </c>
      <c r="M27" s="14">
        <v>0</v>
      </c>
      <c r="N27" s="15" t="s">
        <v>14</v>
      </c>
    </row>
    <row r="28" spans="1:14">
      <c r="A28" s="13" t="s">
        <v>84</v>
      </c>
      <c r="B28" s="14">
        <v>0</v>
      </c>
      <c r="C28" s="14"/>
      <c r="D28" s="14"/>
      <c r="E28" s="14"/>
      <c r="F28" s="14"/>
      <c r="G28" s="14"/>
      <c r="H28" s="14">
        <v>20285</v>
      </c>
      <c r="I28" s="14">
        <v>0</v>
      </c>
      <c r="J28" s="14">
        <v>16435</v>
      </c>
      <c r="K28" s="14">
        <v>0</v>
      </c>
      <c r="L28" s="14">
        <v>0</v>
      </c>
      <c r="M28" s="14">
        <v>3850</v>
      </c>
      <c r="N28" s="15" t="s">
        <v>38</v>
      </c>
    </row>
    <row r="29" spans="1:14">
      <c r="A29" s="13" t="s">
        <v>85</v>
      </c>
      <c r="B29" s="14">
        <v>1632178</v>
      </c>
      <c r="C29" s="14">
        <v>1003473</v>
      </c>
      <c r="D29" s="14">
        <v>360488</v>
      </c>
      <c r="E29" s="14">
        <v>176658</v>
      </c>
      <c r="F29" s="14">
        <v>0</v>
      </c>
      <c r="G29" s="14">
        <v>91559</v>
      </c>
      <c r="H29" s="14">
        <v>665028</v>
      </c>
      <c r="I29" s="14">
        <v>63854</v>
      </c>
      <c r="J29" s="14">
        <v>308538</v>
      </c>
      <c r="K29" s="14">
        <v>257786</v>
      </c>
      <c r="L29" s="14">
        <v>0</v>
      </c>
      <c r="M29" s="14">
        <v>34850</v>
      </c>
      <c r="N29" s="15" t="s">
        <v>39</v>
      </c>
    </row>
    <row r="30" spans="1:14">
      <c r="A30" s="13" t="s">
        <v>64</v>
      </c>
      <c r="B30" s="14">
        <v>60000</v>
      </c>
      <c r="C30" s="14">
        <v>60000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/>
      <c r="J30" s="14"/>
      <c r="K30" s="14"/>
      <c r="L30" s="14"/>
      <c r="M30" s="14"/>
      <c r="N30" s="15" t="s">
        <v>15</v>
      </c>
    </row>
    <row r="31" spans="1:14">
      <c r="A31" s="13" t="s">
        <v>95</v>
      </c>
      <c r="B31" s="14">
        <v>0</v>
      </c>
      <c r="C31" s="14"/>
      <c r="D31" s="14"/>
      <c r="E31" s="14"/>
      <c r="F31" s="14"/>
      <c r="G31" s="14"/>
      <c r="H31" s="14">
        <v>6005</v>
      </c>
      <c r="I31" s="14">
        <v>0</v>
      </c>
      <c r="J31" s="14">
        <v>6005</v>
      </c>
      <c r="K31" s="14">
        <v>0</v>
      </c>
      <c r="L31" s="14">
        <v>0</v>
      </c>
      <c r="M31" s="14">
        <v>0</v>
      </c>
      <c r="N31" s="15" t="s">
        <v>96</v>
      </c>
    </row>
    <row r="32" spans="1:14">
      <c r="A32" s="13" t="s">
        <v>66</v>
      </c>
      <c r="B32" s="14">
        <v>148585</v>
      </c>
      <c r="C32" s="14">
        <v>2001</v>
      </c>
      <c r="D32" s="14">
        <v>145089</v>
      </c>
      <c r="E32" s="14">
        <v>0</v>
      </c>
      <c r="F32" s="14">
        <v>0</v>
      </c>
      <c r="G32" s="14">
        <v>1495</v>
      </c>
      <c r="H32" s="14">
        <v>35165</v>
      </c>
      <c r="I32" s="14">
        <v>0</v>
      </c>
      <c r="J32" s="14">
        <v>28948</v>
      </c>
      <c r="K32" s="14">
        <v>0</v>
      </c>
      <c r="L32" s="14">
        <v>0</v>
      </c>
      <c r="M32" s="14">
        <v>6217</v>
      </c>
      <c r="N32" s="15" t="s">
        <v>17</v>
      </c>
    </row>
    <row r="33" spans="1:14">
      <c r="A33" s="13" t="s">
        <v>67</v>
      </c>
      <c r="B33" s="14">
        <v>10600</v>
      </c>
      <c r="C33" s="14">
        <v>0</v>
      </c>
      <c r="D33" s="14">
        <v>10600</v>
      </c>
      <c r="E33" s="14">
        <v>0</v>
      </c>
      <c r="F33" s="14">
        <v>0</v>
      </c>
      <c r="G33" s="14">
        <v>0</v>
      </c>
      <c r="H33" s="14">
        <v>99500</v>
      </c>
      <c r="I33" s="14">
        <v>0</v>
      </c>
      <c r="J33" s="14">
        <v>99500</v>
      </c>
      <c r="K33" s="14">
        <v>0</v>
      </c>
      <c r="L33" s="14">
        <v>0</v>
      </c>
      <c r="M33" s="14">
        <v>0</v>
      </c>
      <c r="N33" s="15" t="s">
        <v>18</v>
      </c>
    </row>
    <row r="34" spans="1:14">
      <c r="A34" s="13" t="s">
        <v>68</v>
      </c>
      <c r="B34" s="14">
        <v>117268</v>
      </c>
      <c r="C34" s="14">
        <v>27281</v>
      </c>
      <c r="D34" s="14">
        <v>86238</v>
      </c>
      <c r="E34" s="14">
        <v>0</v>
      </c>
      <c r="F34" s="14">
        <v>0</v>
      </c>
      <c r="G34" s="14">
        <v>3749</v>
      </c>
      <c r="H34" s="14">
        <v>188451</v>
      </c>
      <c r="I34" s="14">
        <v>75728</v>
      </c>
      <c r="J34" s="14">
        <v>107788</v>
      </c>
      <c r="K34" s="14">
        <v>0</v>
      </c>
      <c r="L34" s="14">
        <v>0</v>
      </c>
      <c r="M34" s="14">
        <v>4935</v>
      </c>
      <c r="N34" s="15" t="s">
        <v>19</v>
      </c>
    </row>
    <row r="35" spans="1:14">
      <c r="A35" s="13" t="s">
        <v>97</v>
      </c>
      <c r="B35" s="14">
        <v>1536</v>
      </c>
      <c r="C35" s="14">
        <v>0</v>
      </c>
      <c r="D35" s="14">
        <v>0</v>
      </c>
      <c r="E35" s="14">
        <v>0</v>
      </c>
      <c r="F35" s="14">
        <v>0</v>
      </c>
      <c r="G35" s="14">
        <v>1536</v>
      </c>
      <c r="H35" s="14">
        <v>0</v>
      </c>
      <c r="I35" s="14"/>
      <c r="J35" s="14"/>
      <c r="K35" s="14"/>
      <c r="L35" s="14"/>
      <c r="M35" s="14"/>
      <c r="N35" s="15" t="s">
        <v>98</v>
      </c>
    </row>
    <row r="36" spans="1:14">
      <c r="A36" s="13" t="s">
        <v>99</v>
      </c>
      <c r="B36" s="14">
        <v>1237</v>
      </c>
      <c r="C36" s="14">
        <v>1237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/>
      <c r="J36" s="14"/>
      <c r="K36" s="14"/>
      <c r="L36" s="14"/>
      <c r="M36" s="14"/>
      <c r="N36" s="15" t="s">
        <v>100</v>
      </c>
    </row>
    <row r="37" spans="1:14">
      <c r="A37" s="13" t="s">
        <v>69</v>
      </c>
      <c r="B37" s="14">
        <v>49085</v>
      </c>
      <c r="C37" s="14">
        <v>0</v>
      </c>
      <c r="D37" s="14">
        <v>49085</v>
      </c>
      <c r="E37" s="14">
        <v>0</v>
      </c>
      <c r="F37" s="14">
        <v>0</v>
      </c>
      <c r="G37" s="14">
        <v>0</v>
      </c>
      <c r="H37" s="14">
        <v>5540</v>
      </c>
      <c r="I37" s="14">
        <v>0</v>
      </c>
      <c r="J37" s="14">
        <v>0</v>
      </c>
      <c r="K37" s="14">
        <v>0</v>
      </c>
      <c r="L37" s="14">
        <v>0</v>
      </c>
      <c r="M37" s="14">
        <v>5540</v>
      </c>
      <c r="N37" s="16" t="s">
        <v>20</v>
      </c>
    </row>
    <row r="38" spans="1:14">
      <c r="A38" s="13" t="s">
        <v>70</v>
      </c>
      <c r="B38" s="14">
        <v>0</v>
      </c>
      <c r="C38" s="14"/>
      <c r="D38" s="14"/>
      <c r="E38" s="14"/>
      <c r="F38" s="14"/>
      <c r="G38" s="14"/>
      <c r="H38" s="14">
        <v>76272</v>
      </c>
      <c r="I38" s="14">
        <v>0</v>
      </c>
      <c r="J38" s="14">
        <v>56015</v>
      </c>
      <c r="K38" s="14">
        <v>0</v>
      </c>
      <c r="L38" s="14">
        <v>0</v>
      </c>
      <c r="M38" s="14">
        <v>20257</v>
      </c>
      <c r="N38" s="15" t="s">
        <v>21</v>
      </c>
    </row>
    <row r="39" spans="1:14">
      <c r="A39" s="13" t="s">
        <v>72</v>
      </c>
      <c r="B39" s="14">
        <v>228300</v>
      </c>
      <c r="C39" s="14">
        <v>201826</v>
      </c>
      <c r="D39" s="14">
        <v>0</v>
      </c>
      <c r="E39" s="14">
        <v>18174</v>
      </c>
      <c r="F39" s="14">
        <v>5964</v>
      </c>
      <c r="G39" s="14">
        <v>2336</v>
      </c>
      <c r="H39" s="14">
        <v>19935</v>
      </c>
      <c r="I39" s="14">
        <v>0</v>
      </c>
      <c r="J39" s="14">
        <v>0</v>
      </c>
      <c r="K39" s="14">
        <v>7268</v>
      </c>
      <c r="L39" s="14">
        <v>11034</v>
      </c>
      <c r="M39" s="14">
        <v>1633</v>
      </c>
      <c r="N39" s="15" t="s">
        <v>22</v>
      </c>
    </row>
    <row r="40" spans="1:14">
      <c r="A40" s="13" t="s">
        <v>71</v>
      </c>
      <c r="B40" s="14">
        <v>3042217</v>
      </c>
      <c r="C40" s="14">
        <v>3042217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/>
      <c r="J40" s="14"/>
      <c r="K40" s="14"/>
      <c r="L40" s="14"/>
      <c r="M40" s="14"/>
      <c r="N40" s="15" t="s">
        <v>23</v>
      </c>
    </row>
    <row r="41" spans="1:14">
      <c r="A41" s="13" t="s">
        <v>101</v>
      </c>
      <c r="B41" s="14">
        <v>20900</v>
      </c>
      <c r="C41" s="14">
        <v>0</v>
      </c>
      <c r="D41" s="14">
        <v>20900</v>
      </c>
      <c r="E41" s="14">
        <v>0</v>
      </c>
      <c r="F41" s="14">
        <v>0</v>
      </c>
      <c r="G41" s="14">
        <v>0</v>
      </c>
      <c r="H41" s="14">
        <v>343671</v>
      </c>
      <c r="I41" s="14">
        <v>0</v>
      </c>
      <c r="J41" s="14">
        <v>343671</v>
      </c>
      <c r="K41" s="14">
        <v>0</v>
      </c>
      <c r="L41" s="14">
        <v>0</v>
      </c>
      <c r="M41" s="14">
        <v>0</v>
      </c>
      <c r="N41" s="15" t="s">
        <v>24</v>
      </c>
    </row>
    <row r="42" spans="1:14">
      <c r="A42" s="13" t="s">
        <v>88</v>
      </c>
      <c r="B42" s="14">
        <v>17079</v>
      </c>
      <c r="C42" s="14">
        <v>0</v>
      </c>
      <c r="D42" s="14">
        <v>17079</v>
      </c>
      <c r="E42" s="14">
        <v>0</v>
      </c>
      <c r="F42" s="14">
        <v>0</v>
      </c>
      <c r="G42" s="14">
        <v>0</v>
      </c>
      <c r="H42" s="14">
        <v>945</v>
      </c>
      <c r="I42" s="14">
        <v>945</v>
      </c>
      <c r="J42" s="14">
        <v>0</v>
      </c>
      <c r="K42" s="14">
        <v>0</v>
      </c>
      <c r="L42" s="14">
        <v>0</v>
      </c>
      <c r="M42" s="14">
        <v>0</v>
      </c>
      <c r="N42" s="15" t="s">
        <v>89</v>
      </c>
    </row>
    <row r="43" spans="1:14">
      <c r="A43" s="13" t="s">
        <v>73</v>
      </c>
      <c r="B43" s="14">
        <v>24279</v>
      </c>
      <c r="C43" s="14">
        <v>0</v>
      </c>
      <c r="D43" s="14">
        <v>17619</v>
      </c>
      <c r="E43" s="14">
        <v>0</v>
      </c>
      <c r="F43" s="14">
        <v>0</v>
      </c>
      <c r="G43" s="14">
        <v>6660</v>
      </c>
      <c r="H43" s="14">
        <v>0</v>
      </c>
      <c r="I43" s="14"/>
      <c r="J43" s="14"/>
      <c r="K43" s="14"/>
      <c r="L43" s="14"/>
      <c r="M43" s="14"/>
      <c r="N43" s="15" t="s">
        <v>25</v>
      </c>
    </row>
    <row r="44" spans="1:14">
      <c r="A44" s="13" t="s">
        <v>102</v>
      </c>
      <c r="B44" s="14">
        <v>43245</v>
      </c>
      <c r="C44" s="14">
        <v>0</v>
      </c>
      <c r="D44" s="14">
        <v>30628</v>
      </c>
      <c r="E44" s="14">
        <v>0</v>
      </c>
      <c r="F44" s="14">
        <v>0</v>
      </c>
      <c r="G44" s="14">
        <v>12617</v>
      </c>
      <c r="H44" s="14">
        <v>29931</v>
      </c>
      <c r="I44" s="14">
        <v>0</v>
      </c>
      <c r="J44" s="14">
        <v>28826</v>
      </c>
      <c r="K44" s="14">
        <v>0</v>
      </c>
      <c r="L44" s="14">
        <v>0</v>
      </c>
      <c r="M44" s="14">
        <v>1105</v>
      </c>
      <c r="N44" s="15" t="s">
        <v>26</v>
      </c>
    </row>
    <row r="45" spans="1:14">
      <c r="A45" s="13" t="s">
        <v>74</v>
      </c>
      <c r="B45" s="14">
        <v>0</v>
      </c>
      <c r="C45" s="14"/>
      <c r="D45" s="14"/>
      <c r="E45" s="14"/>
      <c r="F45" s="14"/>
      <c r="G45" s="14"/>
      <c r="H45" s="14">
        <v>163753</v>
      </c>
      <c r="I45" s="14">
        <v>0</v>
      </c>
      <c r="J45" s="14">
        <v>113728</v>
      </c>
      <c r="K45" s="14">
        <v>0</v>
      </c>
      <c r="L45" s="14">
        <v>0</v>
      </c>
      <c r="M45" s="14">
        <v>50025</v>
      </c>
      <c r="N45" s="15" t="s">
        <v>27</v>
      </c>
    </row>
    <row r="46" spans="1:14">
      <c r="A46" s="13" t="s">
        <v>75</v>
      </c>
      <c r="B46" s="14">
        <v>484836</v>
      </c>
      <c r="C46" s="14">
        <v>25888</v>
      </c>
      <c r="D46" s="14">
        <v>37675</v>
      </c>
      <c r="E46" s="14">
        <v>0</v>
      </c>
      <c r="F46" s="14">
        <v>417364</v>
      </c>
      <c r="G46" s="14">
        <v>3909</v>
      </c>
      <c r="H46" s="14">
        <v>322467</v>
      </c>
      <c r="I46" s="14">
        <v>0</v>
      </c>
      <c r="J46" s="14">
        <v>0</v>
      </c>
      <c r="K46" s="14">
        <v>0</v>
      </c>
      <c r="L46" s="14">
        <v>322464</v>
      </c>
      <c r="M46" s="14">
        <v>3</v>
      </c>
      <c r="N46" s="15" t="s">
        <v>28</v>
      </c>
    </row>
    <row r="47" spans="1:14">
      <c r="A47" s="13" t="s">
        <v>76</v>
      </c>
      <c r="B47" s="14">
        <v>45656</v>
      </c>
      <c r="C47" s="14">
        <v>1932</v>
      </c>
      <c r="D47" s="14">
        <v>43724</v>
      </c>
      <c r="E47" s="14">
        <v>0</v>
      </c>
      <c r="F47" s="14">
        <v>0</v>
      </c>
      <c r="G47" s="14">
        <v>0</v>
      </c>
      <c r="H47" s="14">
        <v>0</v>
      </c>
      <c r="I47" s="14"/>
      <c r="J47" s="14"/>
      <c r="K47" s="14"/>
      <c r="L47" s="14"/>
      <c r="M47" s="14"/>
      <c r="N47" s="15" t="s">
        <v>29</v>
      </c>
    </row>
    <row r="48" spans="1:14">
      <c r="A48" s="13" t="s">
        <v>77</v>
      </c>
      <c r="B48" s="14">
        <v>0</v>
      </c>
      <c r="C48" s="14"/>
      <c r="D48" s="14"/>
      <c r="E48" s="14"/>
      <c r="F48" s="14"/>
      <c r="G48" s="14"/>
      <c r="H48" s="14">
        <v>7575</v>
      </c>
      <c r="I48" s="14">
        <v>0</v>
      </c>
      <c r="J48" s="14">
        <v>7575</v>
      </c>
      <c r="K48" s="14">
        <v>0</v>
      </c>
      <c r="L48" s="14">
        <v>0</v>
      </c>
      <c r="M48" s="14">
        <v>0</v>
      </c>
      <c r="N48" s="15" t="s">
        <v>30</v>
      </c>
    </row>
    <row r="49" spans="1:14">
      <c r="A49" s="13" t="s">
        <v>78</v>
      </c>
      <c r="B49" s="14">
        <v>49069</v>
      </c>
      <c r="C49" s="14">
        <v>0</v>
      </c>
      <c r="D49" s="14">
        <v>49069</v>
      </c>
      <c r="E49" s="14">
        <v>0</v>
      </c>
      <c r="F49" s="14">
        <v>0</v>
      </c>
      <c r="G49" s="14">
        <v>0</v>
      </c>
      <c r="H49" s="14">
        <v>1700</v>
      </c>
      <c r="I49" s="14">
        <v>0</v>
      </c>
      <c r="J49" s="14">
        <v>0</v>
      </c>
      <c r="K49" s="14">
        <v>0</v>
      </c>
      <c r="L49" s="14">
        <v>0</v>
      </c>
      <c r="M49" s="14">
        <v>1700</v>
      </c>
      <c r="N49" s="15" t="s">
        <v>31</v>
      </c>
    </row>
    <row r="50" spans="1:14">
      <c r="A50" s="13" t="s">
        <v>79</v>
      </c>
      <c r="B50" s="14">
        <v>37482</v>
      </c>
      <c r="C50" s="14">
        <v>0</v>
      </c>
      <c r="D50" s="14">
        <v>35299</v>
      </c>
      <c r="E50" s="14">
        <v>0</v>
      </c>
      <c r="F50" s="14">
        <v>0</v>
      </c>
      <c r="G50" s="14">
        <v>2183</v>
      </c>
      <c r="H50" s="14">
        <v>3039</v>
      </c>
      <c r="I50" s="14">
        <v>0</v>
      </c>
      <c r="J50" s="14">
        <v>3039</v>
      </c>
      <c r="K50" s="14">
        <v>0</v>
      </c>
      <c r="L50" s="14">
        <v>0</v>
      </c>
      <c r="M50" s="14">
        <v>0</v>
      </c>
      <c r="N50" s="15" t="s">
        <v>32</v>
      </c>
    </row>
    <row r="51" spans="1:14">
      <c r="A51" s="13" t="s">
        <v>90</v>
      </c>
      <c r="B51" s="14">
        <v>0</v>
      </c>
      <c r="C51" s="14"/>
      <c r="D51" s="14"/>
      <c r="E51" s="14"/>
      <c r="F51" s="14"/>
      <c r="G51" s="14"/>
      <c r="H51" s="14">
        <v>23500</v>
      </c>
      <c r="I51" s="14">
        <v>0</v>
      </c>
      <c r="J51" s="14">
        <v>23500</v>
      </c>
      <c r="K51" s="14">
        <v>0</v>
      </c>
      <c r="L51" s="14">
        <v>0</v>
      </c>
      <c r="M51" s="14">
        <v>0</v>
      </c>
      <c r="N51" s="15" t="s">
        <v>91</v>
      </c>
    </row>
    <row r="52" spans="1:14">
      <c r="A52" s="13" t="s">
        <v>80</v>
      </c>
      <c r="B52" s="14">
        <v>1500</v>
      </c>
      <c r="C52" s="14">
        <v>0</v>
      </c>
      <c r="D52" s="14">
        <v>0</v>
      </c>
      <c r="E52" s="14">
        <v>0</v>
      </c>
      <c r="F52" s="14">
        <v>0</v>
      </c>
      <c r="G52" s="14">
        <v>1500</v>
      </c>
      <c r="H52" s="14">
        <v>0</v>
      </c>
      <c r="I52" s="14"/>
      <c r="J52" s="14"/>
      <c r="K52" s="14"/>
      <c r="L52" s="14"/>
      <c r="M52" s="14"/>
      <c r="N52" s="15" t="s">
        <v>33</v>
      </c>
    </row>
    <row r="53" spans="1:14">
      <c r="A53" s="13" t="s">
        <v>81</v>
      </c>
      <c r="B53" s="14">
        <v>0</v>
      </c>
      <c r="C53" s="14"/>
      <c r="D53" s="14"/>
      <c r="E53" s="14"/>
      <c r="F53" s="14"/>
      <c r="G53" s="14"/>
      <c r="H53" s="14">
        <v>103605</v>
      </c>
      <c r="I53" s="14">
        <v>0</v>
      </c>
      <c r="J53" s="14">
        <v>103605</v>
      </c>
      <c r="K53" s="14">
        <v>0</v>
      </c>
      <c r="L53" s="14">
        <v>0</v>
      </c>
      <c r="M53" s="14">
        <v>0</v>
      </c>
      <c r="N53" s="15" t="s">
        <v>34</v>
      </c>
    </row>
    <row r="54" spans="1:14">
      <c r="A54" s="13" t="s">
        <v>103</v>
      </c>
      <c r="B54" s="14">
        <v>524</v>
      </c>
      <c r="C54" s="14">
        <v>524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/>
      <c r="J54" s="14"/>
      <c r="K54" s="14"/>
      <c r="L54" s="14"/>
      <c r="M54" s="14"/>
      <c r="N54" s="15" t="s">
        <v>104</v>
      </c>
    </row>
    <row r="55" spans="1:14">
      <c r="A55" s="13" t="s">
        <v>105</v>
      </c>
      <c r="B55" s="14">
        <v>25190</v>
      </c>
      <c r="C55" s="14">
        <v>0</v>
      </c>
      <c r="D55" s="14">
        <v>25190</v>
      </c>
      <c r="E55" s="14">
        <v>0</v>
      </c>
      <c r="F55" s="14">
        <v>0</v>
      </c>
      <c r="G55" s="14">
        <v>0</v>
      </c>
      <c r="H55" s="14">
        <v>0</v>
      </c>
      <c r="I55" s="14"/>
      <c r="J55" s="14"/>
      <c r="K55" s="14"/>
      <c r="L55" s="14"/>
      <c r="M55" s="14"/>
      <c r="N55" s="15" t="s">
        <v>35</v>
      </c>
    </row>
    <row r="56" spans="1:14">
      <c r="A56" s="13" t="s">
        <v>82</v>
      </c>
      <c r="B56" s="14">
        <v>14243</v>
      </c>
      <c r="C56" s="14">
        <v>0</v>
      </c>
      <c r="D56" s="14">
        <v>0</v>
      </c>
      <c r="E56" s="14">
        <v>0</v>
      </c>
      <c r="F56" s="14">
        <v>0</v>
      </c>
      <c r="G56" s="14">
        <v>14243</v>
      </c>
      <c r="H56" s="14">
        <v>9789</v>
      </c>
      <c r="I56" s="14">
        <v>0</v>
      </c>
      <c r="J56" s="14">
        <v>3829</v>
      </c>
      <c r="K56" s="14">
        <v>0</v>
      </c>
      <c r="L56" s="14">
        <v>0</v>
      </c>
      <c r="M56" s="14">
        <v>5960</v>
      </c>
      <c r="N56" s="15" t="s">
        <v>36</v>
      </c>
    </row>
    <row r="57" spans="1:14">
      <c r="A57" s="13" t="s">
        <v>106</v>
      </c>
      <c r="B57" s="14">
        <v>0</v>
      </c>
      <c r="C57" s="14"/>
      <c r="D57" s="14"/>
      <c r="E57" s="14"/>
      <c r="F57" s="14"/>
      <c r="G57" s="14"/>
      <c r="H57" s="14">
        <v>3000</v>
      </c>
      <c r="I57" s="14">
        <v>0</v>
      </c>
      <c r="J57" s="14">
        <v>3000</v>
      </c>
      <c r="K57" s="14">
        <v>0</v>
      </c>
      <c r="L57" s="14">
        <v>0</v>
      </c>
      <c r="M57" s="14">
        <v>0</v>
      </c>
      <c r="N57" s="15" t="s">
        <v>107</v>
      </c>
    </row>
    <row r="58" spans="1:14">
      <c r="A58" s="13" t="s">
        <v>83</v>
      </c>
      <c r="B58" s="14">
        <v>34969</v>
      </c>
      <c r="C58" s="14">
        <v>0</v>
      </c>
      <c r="D58" s="14">
        <v>31378</v>
      </c>
      <c r="E58" s="14">
        <v>30</v>
      </c>
      <c r="F58" s="14">
        <v>0</v>
      </c>
      <c r="G58" s="14">
        <v>3561</v>
      </c>
      <c r="H58" s="14">
        <v>15538</v>
      </c>
      <c r="I58" s="14">
        <v>0</v>
      </c>
      <c r="J58" s="14">
        <v>9368</v>
      </c>
      <c r="K58" s="14">
        <v>0</v>
      </c>
      <c r="L58" s="14">
        <v>0</v>
      </c>
      <c r="M58" s="14">
        <v>6170</v>
      </c>
      <c r="N58" s="15" t="s">
        <v>37</v>
      </c>
    </row>
    <row r="59" spans="1:14">
      <c r="A59" s="13" t="s">
        <v>59</v>
      </c>
      <c r="B59" s="14">
        <v>187607</v>
      </c>
      <c r="C59" s="14">
        <v>9458</v>
      </c>
      <c r="D59" s="14">
        <v>105827</v>
      </c>
      <c r="E59" s="14">
        <v>0</v>
      </c>
      <c r="F59" s="14">
        <v>0</v>
      </c>
      <c r="G59" s="14">
        <v>72322</v>
      </c>
      <c r="H59" s="14">
        <v>1999</v>
      </c>
      <c r="I59" s="14">
        <v>1999</v>
      </c>
      <c r="J59" s="14">
        <v>0</v>
      </c>
      <c r="K59" s="14">
        <v>0</v>
      </c>
      <c r="L59" s="14">
        <v>0</v>
      </c>
      <c r="M59" s="14">
        <v>0</v>
      </c>
      <c r="N59" s="15" t="s">
        <v>10</v>
      </c>
    </row>
    <row r="60" spans="1:14">
      <c r="B60" s="3"/>
    </row>
  </sheetData>
  <mergeCells count="19"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  <mergeCell ref="A1:M1"/>
    <mergeCell ref="A2:M2"/>
    <mergeCell ref="A4:M4"/>
    <mergeCell ref="A7:A11"/>
    <mergeCell ref="B7:G8"/>
    <mergeCell ref="H7:M8"/>
    <mergeCell ref="K9:K11"/>
    <mergeCell ref="L9:L11"/>
    <mergeCell ref="M9:M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Pin_ a1.8__q4_2016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papandk</cp:lastModifiedBy>
  <dcterms:modified xsi:type="dcterms:W3CDTF">2017-06-15T14:24:16Z</dcterms:modified>
</cp:coreProperties>
</file>